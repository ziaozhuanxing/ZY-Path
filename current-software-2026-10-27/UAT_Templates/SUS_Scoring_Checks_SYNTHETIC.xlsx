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TIC_ONLY" sheetId="1" state="visible" r:id="rId3"/>
    <sheet name="Scoring_vectors" sheetId="2" state="visible" r:id="rId4"/>
  </sheets>
  <definedNames>
    <definedName function="false" hidden="true" localSheetId="1" name="_xlnm._FilterDatabase" vbProcedure="false">Scoring_vectors!$A$1:$O$7</definedName>
    <definedName function="false" hidden="true" localSheetId="0" name="_xlnm._FilterDatabase" vbProcedure="false">SYNTHETIC_ONLY!$A$1:$B$6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<sst xmlns="http://schemas.openxmlformats.org/spreadsheetml/2006/main" count="44" uniqueCount="40">
  <si>
    <t xml:space="preserve">SYNTHETIC SCORING CHECKS — NO PARTICIPANTS</t>
  </si>
  <si>
    <t xml:space="preserve">Purpose</t>
  </si>
  <si>
    <t xml:space="preserve">Verify Equation3.4 and invalid/missing-answer handling.</t>
  </si>
  <si>
    <t xml:space="preserve">Evidence type</t>
  </si>
  <si>
    <t xml:space="preserve">Deterministic software test inputs; not survey responses or user feedback.</t>
  </si>
  <si>
    <t xml:space="preserve">Use in thesis</t>
  </si>
  <si>
    <t xml:space="preserve">Do not copy these cases into Chapter4 UAT results or real participant sheets.</t>
  </si>
  <si>
    <t xml:space="preserve">Demographics / quotations</t>
  </si>
  <si>
    <t xml:space="preserve">None: no people were recruited or interviewed.</t>
  </si>
  <si>
    <t xml:space="preserve">Group mean</t>
  </si>
  <si>
    <t xml:space="preserve">Not reported: the mean of boundary test vectors has no usability meaning.</t>
  </si>
  <si>
    <t xml:space="preserve">Synthetic case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</si>
  <si>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</si>
  <si>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</si>
  <si>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</si>
  <si>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</si>
  <si>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</si>
  <si>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</si>
  <si>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</si>
  <si>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</si>
  <si>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</si>
  <si>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</si>
  <si>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Calculated SUS</t>
  </si>
  <si>
    <t xml:space="preserve">Expected SUS</t>
  </si>
  <si>
    <t xml:space="preserve">Expected handling</t>
  </si>
  <si>
    <t xml:space="preserve">Meaning</t>
  </si>
  <si>
    <t xml:space="preserve">FIXTURE_FAVOURABLE</t>
  </si>
  <si>
    <t xml:space="preserve">Valid</t>
  </si>
  <si>
    <t xml:space="preserve">Upper score boundary</t>
  </si>
  <si>
    <t xml:space="preserve">FIXTURE_UNFAVOURABLE</t>
  </si>
  <si>
    <t xml:space="preserve">Lower score boundary</t>
  </si>
  <si>
    <t xml:space="preserve">FIXTURE_NEUTRAL</t>
  </si>
  <si>
    <t xml:space="preserve">Midpoint arithmetic</t>
  </si>
  <si>
    <t xml:space="preserve">FIXTURE_MIXED</t>
  </si>
  <si>
    <t xml:space="preserve">Mixed valid answers</t>
  </si>
  <si>
    <t xml:space="preserve">FIXTURE_MISSING</t>
  </si>
  <si>
    <t xml:space="preserve">Unscored</t>
  </si>
  <si>
    <t xml:space="preserve">One response absent</t>
  </si>
  <si>
    <t xml:space="preserve">FIXTURE_OUT_OF_RANGE</t>
  </si>
  <si>
    <t xml:space="preserve">A value exceeds5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</si>
</sst>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0374C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FF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494A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6EF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0374C"/>
          <bgColor rgb="FF000000"/>
        </patternFill>
      </fill>
    </dxf>
  </dxfs>
  <colors>
    <indexedColors>
      <rgbColor rgb="FF000000"/>
      <rgbColor rgb="FFE6EF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4A3"/>
      <rgbColor rgb="FF003366"/>
      <rgbColor rgb="FF339966"/>
      <rgbColor rgb="FF003300"/>
      <rgbColor rgb="FF333300"/>
      <rgbColor rgb="FF993300"/>
      <rgbColor rgb="FF993366"/>
      <rgbColor rgb="FF333399"/>
      <rgbColor rgb="FF2037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</cols>
  <sheetData>
    <row r="1" customFormat="false" ht="35.05" hidden="false" customHeight="false" outlineLevel="0" collapsed="false">
      <c r="A1" s="1" t="s">
        <v>0</v>
      </c>
      <c r="B1" s="1"/>
    </row>
    <row r="2" customFormat="false" ht="23.85" hidden="false" customHeight="false" outlineLevel="0" collapsed="false">
      <c r="A2" s="2" t="s">
        <v>1</v>
      </c>
      <c r="B2" s="2" t="s">
        <v>2</v>
      </c>
    </row>
    <row r="3" customFormat="false" ht="23.85" hidden="false" customHeight="false" outlineLevel="0" collapsed="false">
      <c r="A3" s="2" t="s">
        <v>3</v>
      </c>
      <c r="B3" s="2" t="s">
        <v>4</v>
      </c>
    </row>
    <row r="4" customFormat="false" ht="23.85" hidden="false" customHeight="false" outlineLevel="0" collapsed="false">
      <c r="A4" s="2" t="s">
        <v>5</v>
      </c>
      <c r="B4" s="2" t="s">
        <v>6</v>
      </c>
    </row>
    <row r="5" customFormat="false" ht="23.85" hidden="false" customHeight="false" outlineLevel="0" collapsed="false">
      <c r="A5" s="2" t="s">
        <v>7</v>
      </c>
      <c r="B5" s="2" t="s">
        <v>8</v>
      </c>
    </row>
    <row r="6" customFormat="false" ht="23.85" hidden="false" customHeight="false" outlineLevel="0" collapsed="false">
      <c r="A6" s="2" t="s">
        <v>9</v>
      </c>
      <c r="B6" s="2" t="s">
        <v>10</v>
      </c>
    </row>
  </sheetData>
  <autoFilter ref="A1:B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11" min="2" style="0" width="8"/>
    <col collapsed="false" customWidth="true" hidden="false" outlineLevel="0" max="15" min="12" style="0" width="3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</row>
    <row r="2" customFormat="false" ht="15" hidden="false" customHeight="false" outlineLevel="0" collapsed="false">
      <c r="A2" s="2" t="s">
        <v>26</v>
      </c>
      <c r="B2" s="2" t="n">
        <v>5</v>
      </c>
      <c r="C2" s="2" t="n">
        <v>1</v>
      </c>
      <c r="D2" s="2" t="n">
        <v>5</v>
      </c>
      <c r="E2" s="2" t="n">
        <v>1</v>
      </c>
      <c r="F2" s="2" t="n">
        <v>5</v>
      </c>
      <c r="G2" s="2" t="n">
        <v>1</v>
      </c>
      <c r="H2" s="2" t="n">
        <v>5</v>
      </c>
      <c r="I2" s="2" t="n">
        <v>1</v>
      </c>
      <c r="J2" s="2" t="n">
        <v>5</v>
      </c>
      <c r="K2" s="2" t="n">
        <v>1</v>
      </c>
      <c r="L2" s="2" t="n">
        <f aca="false">IFERROR(IF(AND(COUNT(B2:K2)=10,COUNTIF(B2:K2,"&gt;=1")=10,COUNTIF(B2:K2,"&lt;=5")=10,SUMPRODUCT(--(MOD(B2:K2,1)=0))=10),2.5*((B2-1)+(5-C2)+(D2-1)+(5-E2)+(F2-1)+(5-G2)+(H2-1)+(5-I2)+(J2-1)+(5-K2)),""),"")</f>
        <v>100</v>
      </c>
      <c r="M2" s="2" t="n">
        <v>100</v>
      </c>
      <c r="N2" s="2" t="s">
        <v>27</v>
      </c>
      <c r="O2" s="2" t="s">
        <v>28</v>
      </c>
    </row>
    <row r="3" customFormat="false" ht="15" hidden="false" customHeight="false" outlineLevel="0" collapsed="false">
      <c r="A3" s="2" t="s">
        <v>29</v>
      </c>
      <c r="B3" s="2" t="n">
        <v>1</v>
      </c>
      <c r="C3" s="2" t="n">
        <v>5</v>
      </c>
      <c r="D3" s="2" t="n">
        <v>1</v>
      </c>
      <c r="E3" s="2" t="n">
        <v>5</v>
      </c>
      <c r="F3" s="2" t="n">
        <v>1</v>
      </c>
      <c r="G3" s="2" t="n">
        <v>5</v>
      </c>
      <c r="H3" s="2" t="n">
        <v>1</v>
      </c>
      <c r="I3" s="2" t="n">
        <v>5</v>
      </c>
      <c r="J3" s="2" t="n">
        <v>1</v>
      </c>
      <c r="K3" s="2" t="n">
        <v>5</v>
      </c>
      <c r="L3" s="2" t="n">
        <f aca="false">IFERROR(IF(AND(COUNT(B3:K3)=10,COUNTIF(B3:K3,"&gt;=1")=10,COUNTIF(B3:K3,"&lt;=5")=10,SUMPRODUCT(--(MOD(B3:K3,1)=0))=10),2.5*((B3-1)+(5-C3)+(D3-1)+(5-E3)+(F3-1)+(5-G3)+(H3-1)+(5-I3)+(J3-1)+(5-K3)),""),"")</f>
        <v>0</v>
      </c>
      <c r="M3" s="2" t="n">
        <v>0</v>
      </c>
      <c r="N3" s="2" t="s">
        <v>27</v>
      </c>
      <c r="O3" s="2" t="s">
        <v>30</v>
      </c>
    </row>
    <row r="4" customFormat="false" ht="15" hidden="false" customHeight="false" outlineLevel="0" collapsed="false">
      <c r="A4" s="2" t="s">
        <v>31</v>
      </c>
      <c r="B4" s="2" t="n">
        <v>3</v>
      </c>
      <c r="C4" s="2" t="n">
        <v>3</v>
      </c>
      <c r="D4" s="2" t="n">
        <v>3</v>
      </c>
      <c r="E4" s="2" t="n">
        <v>3</v>
      </c>
      <c r="F4" s="2" t="n">
        <v>3</v>
      </c>
      <c r="G4" s="2" t="n">
        <v>3</v>
      </c>
      <c r="H4" s="2" t="n">
        <v>3</v>
      </c>
      <c r="I4" s="2" t="n">
        <v>3</v>
      </c>
      <c r="J4" s="2" t="n">
        <v>3</v>
      </c>
      <c r="K4" s="2" t="n">
        <v>3</v>
      </c>
      <c r="L4" s="2" t="n">
        <f aca="false">IFERROR(IF(AND(COUNT(B4:K4)=10,COUNTIF(B4:K4,"&gt;=1")=10,COUNTIF(B4:K4,"&lt;=5")=10,SUMPRODUCT(--(MOD(B4:K4,1)=0))=10),2.5*((B4-1)+(5-C4)+(D4-1)+(5-E4)+(F4-1)+(5-G4)+(H4-1)+(5-I4)+(J4-1)+(5-K4)),""),"")</f>
        <v>50</v>
      </c>
      <c r="M4" s="2" t="n">
        <v>50</v>
      </c>
      <c r="N4" s="2" t="s">
        <v>27</v>
      </c>
      <c r="O4" s="2" t="s">
        <v>32</v>
      </c>
    </row>
    <row r="5" customFormat="false" ht="15" hidden="false" customHeight="false" outlineLevel="0" collapsed="false">
      <c r="A5" s="2" t="s">
        <v>33</v>
      </c>
      <c r="B5" s="2" t="n">
        <v>4</v>
      </c>
      <c r="C5" s="2" t="n">
        <v>2</v>
      </c>
      <c r="D5" s="2" t="n">
        <v>5</v>
      </c>
      <c r="E5" s="2" t="n">
        <v>1</v>
      </c>
      <c r="F5" s="2" t="n">
        <v>4</v>
      </c>
      <c r="G5" s="2" t="n">
        <v>2</v>
      </c>
      <c r="H5" s="2" t="n">
        <v>4</v>
      </c>
      <c r="I5" s="2" t="n">
        <v>2</v>
      </c>
      <c r="J5" s="2" t="n">
        <v>5</v>
      </c>
      <c r="K5" s="2" t="n">
        <v>1</v>
      </c>
      <c r="L5" s="2" t="n">
        <f aca="false">IFERROR(IF(AND(COUNT(B5:K5)=10,COUNTIF(B5:K5,"&gt;=1")=10,COUNTIF(B5:K5,"&lt;=5")=10,SUMPRODUCT(--(MOD(B5:K5,1)=0))=10),2.5*((B5-1)+(5-C5)+(D5-1)+(5-E5)+(F5-1)+(5-G5)+(H5-1)+(5-I5)+(J5-1)+(5-K5)),""),"")</f>
        <v>85</v>
      </c>
      <c r="M5" s="2" t="n">
        <v>85</v>
      </c>
      <c r="N5" s="2" t="s">
        <v>27</v>
      </c>
      <c r="O5" s="2" t="s">
        <v>34</v>
      </c>
    </row>
    <row r="6" customFormat="false" ht="15" hidden="false" customHeight="false" outlineLevel="0" collapsed="false">
      <c r="A6" s="2" t="s">
        <v>35</v>
      </c>
      <c r="B6" s="2" t="n">
        <v>4</v>
      </c>
      <c r="C6" s="2" t="n">
        <v>2</v>
      </c>
      <c r="D6" s="2" t="n">
        <v>5</v>
      </c>
      <c r="E6" s="2" t="n">
        <v>1</v>
      </c>
      <c r="F6" s="2" t="n">
        <v>4</v>
      </c>
      <c r="G6" s="2" t="n">
        <v>2</v>
      </c>
      <c r="H6" s="2" t="n">
        <v>4</v>
      </c>
      <c r="I6" s="2" t="n">
        <v>2</v>
      </c>
      <c r="J6" s="2" t="n">
        <v>5</v>
      </c>
      <c r="K6" s="2"/>
      <c r="L6" s="2" t="str">
        <f aca="false">IFERROR(IF(AND(COUNT(B6:K6)=10,COUNTIF(B6:K6,"&gt;=1")=10,COUNTIF(B6:K6,"&lt;=5")=10,SUMPRODUCT(--(MOD(B6:K6,1)=0))=10),2.5*((B6-1)+(5-C6)+(D6-1)+(5-E6)+(F6-1)+(5-G6)+(H6-1)+(5-I6)+(J6-1)+(5-K6)),""),"")</f>
        <v/>
      </c>
      <c r="M6" s="2"/>
      <c r="N6" s="2" t="s">
        <v>36</v>
      </c>
      <c r="O6" s="2" t="s">
        <v>37</v>
      </c>
    </row>
    <row r="7" customFormat="false" ht="15" hidden="false" customHeight="false" outlineLevel="0" collapsed="false">
      <c r="A7" s="2" t="s">
        <v>38</v>
      </c>
      <c r="B7" s="2" t="n">
        <v>6</v>
      </c>
      <c r="C7" s="2" t="n">
        <v>2</v>
      </c>
      <c r="D7" s="2" t="n">
        <v>5</v>
      </c>
      <c r="E7" s="2" t="n">
        <v>1</v>
      </c>
      <c r="F7" s="2" t="n">
        <v>4</v>
      </c>
      <c r="G7" s="2" t="n">
        <v>2</v>
      </c>
      <c r="H7" s="2" t="n">
        <v>4</v>
      </c>
      <c r="I7" s="2" t="n">
        <v>2</v>
      </c>
      <c r="J7" s="2" t="n">
        <v>5</v>
      </c>
      <c r="K7" s="2" t="n">
        <v>1</v>
      </c>
      <c r="L7" s="2" t="str">
        <f aca="false">IFERROR(IF(AND(COUNT(B7:K7)=10,COUNTIF(B7:K7,"&gt;=1")=10,COUNTIF(B7:K7,"&lt;=5")=10,SUMPRODUCT(--(MOD(B7:K7,1)=0))=10),2.5*((B7-1)+(5-C7)+(D7-1)+(5-E7)+(F7-1)+(5-G7)+(H7-1)+(5-I7)+(J7-1)+(5-K7)),""),"")</f>
        <v/>
      </c>
      <c r="M7" s="2"/>
      <c r="N7" s="2" t="s">
        <v>36</v>
      </c>
      <c r="O7" s="2" t="s">
        <v>39</v>
      </c>
    </row>
  </sheetData>
  <autoFilter ref="A1:O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2026-10-30T14:20:08Z</dcterms:created>
  <dc:creator>openpyxl</dc:creator>
  <dc:description/>
  <dc:language>en-US</dc:language>
  <cp:lastModifiedBy/>
  <dcterms:modified xsi:type="dcterms:W3CDTF">2026-10-30T14:20:08Z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