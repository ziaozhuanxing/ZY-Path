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SUS_responses" sheetId="3" state="visible" r:id="rId3"/>
    <sheet xmlns:r="http://schemas.openxmlformats.org/officeDocument/2006/relationships" name="Task_log" sheetId="4" state="visible" r:id="rId4"/>
    <sheet xmlns:r="http://schemas.openxmlformats.org/officeDocument/2006/relationships" name="Feature_ratings" sheetId="5" state="visible" r:id="rId5"/>
    <sheet xmlns:r="http://schemas.openxmlformats.org/officeDocument/2006/relationships" name="Qualitative" sheetId="6" state="visible" r:id="rId6"/>
    <sheet xmlns:r="http://schemas.openxmlformats.org/officeDocument/2006/relationships" name="Summary" sheetId="7" state="visible" r:id="rId7"/>
  </sheets>
  <definedNames>
    <definedName name="_xlnm._FilterDatabase" localSheetId="1" hidden="1">'Participants'!$A$1:$I$51</definedName>
    <definedName name="_xlnm._FilterDatabase" localSheetId="2" hidden="1">'SUS_responses'!$A$1:$N$51</definedName>
    <definedName name="_xlnm._FilterDatabase" localSheetId="3" hidden="1">'Task_log'!$A$1:$H$501</definedName>
    <definedName name="_xlnm._FilterDatabase" localSheetId="4" hidden="1">'Feature_ratings'!$A$1:$M$51</definedName>
    <definedName name="_xlnm._FilterDatabase" localSheetId="5" hidden="1">'Qualitative'!$A$1:$G$51</definedName>
    <definedName name="_xlnm._FilterDatabase" localSheetId="6" hidden="1">'Summary'!$A$1:$C$51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63F58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1" t="inlineStr">
        <is>
          <t>ZY-Path UAT data-entry and scoring template</t>
        </is>
      </c>
      <c r="B1" s="1" t="n"/>
    </row>
    <row r="2">
      <c r="A2" s="2" t="inlineStr">
        <is>
          <t>Status</t>
        </is>
      </c>
      <c r="B2" s="2" t="inlineStr">
        <is>
          <t>No participant data have been entered. This workbook is not a UAT result.</t>
        </is>
      </c>
    </row>
    <row r="3">
      <c r="A3" s="3" t="inlineStr">
        <is>
          <t>Baseline</t>
        </is>
      </c>
      <c r="B3" s="3" t="inlineStr">
        <is>
          <t>codex-ready-2026-10-15 @ 1f3e01e</t>
        </is>
      </c>
    </row>
    <row r="4">
      <c r="A4" s="2" t="inlineStr">
        <is>
          <t>Privacy</t>
        </is>
      </c>
      <c r="B4" s="2" t="inlineStr">
        <is>
          <t>Use anonymous participant IDs. Keep consent records separately.</t>
        </is>
      </c>
    </row>
    <row r="5">
      <c r="A5" s="3" t="inlineStr">
        <is>
          <t>Before testing</t>
        </is>
      </c>
      <c r="B5" s="3" t="inlineStr">
        <is>
          <t>Confirm institutional requirements; prepare authorised sample images and trusted model files.</t>
        </is>
      </c>
    </row>
    <row r="6">
      <c r="A6" s="2" t="inlineStr">
        <is>
          <t>SUS</t>
        </is>
      </c>
      <c r="B6" s="2" t="inlineStr">
        <is>
          <t>Enter 10 integers, 1–5. Incomplete/invalid forms remain unscored.</t>
        </is>
      </c>
    </row>
    <row r="7">
      <c r="A7" s="3" t="inlineStr">
        <is>
          <t>Tasks</t>
        </is>
      </c>
      <c r="B7" s="3" t="inlineStr">
        <is>
          <t>Independent success, Assisted success, Unsuccessful, Not attempted, or Blocked.</t>
        </is>
      </c>
    </row>
    <row r="8">
      <c r="A8" s="2" t="inlineStr">
        <is>
          <t>Feature ratings</t>
        </is>
      </c>
      <c r="B8" s="2" t="inlineStr">
        <is>
          <t>Enter 1–5 only for used features; leave unused features blank and explain in notes.</t>
        </is>
      </c>
    </row>
    <row r="9">
      <c r="A9" s="3" t="inlineStr">
        <is>
          <t>Summary</t>
        </is>
      </c>
      <c r="B9" s="3" t="inlineStr">
        <is>
          <t>Formula-based statistics recalculate in Excel/LibreOffice; no numeric result is reported before data entry.</t>
        </is>
      </c>
    </row>
    <row r="10">
      <c r="A10" s="2" t="inlineStr">
        <is>
          <t>Limit</t>
        </is>
      </c>
      <c r="B10" s="2" t="inlineStr">
        <is>
          <t>SUS is 0–100, not a percentage of completed tasks or a diagnostic metric.</t>
        </is>
      </c>
    </row>
    <row r="11">
      <c r="A11" s="3" t="inlineStr">
        <is>
          <t>Capacity</t>
        </is>
      </c>
      <c r="B11" s="3" t="inlineStr">
        <is>
          <t>50 anonymous participants; extend formulas/validation if more are recruited.</t>
        </is>
      </c>
    </row>
    <row r="12">
      <c r="A12" s="2" t="inlineStr">
        <is>
          <t>Protocol</t>
        </is>
      </c>
      <c r="B12" s="2" t="inlineStr">
        <is>
          <t>See Appendix B and the separate UAT questionnaire.</t>
        </is>
      </c>
    </row>
    <row r="13">
      <c r="A13" s="3" t="inlineStr">
        <is>
          <t>Missingness</t>
        </is>
      </c>
      <c r="B13" s="3" t="inlineStr">
        <is>
          <t>Do not replace missing answers with zeros. Document exclusions.</t>
        </is>
      </c>
    </row>
    <row r="14">
      <c r="A14" s="2" t="inlineStr">
        <is>
          <t>Completion</t>
        </is>
      </c>
      <c r="B14" s="2" t="inlineStr">
        <is>
          <t>Report denominators; assisted/blocked/not attempted outcomes remain separate.</t>
        </is>
      </c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  <row r="22">
      <c r="A22" s="2" t="n"/>
      <c r="B22" s="2" t="n"/>
    </row>
    <row r="23">
      <c r="A23" s="3" t="n"/>
      <c r="B23" s="3" t="n"/>
    </row>
    <row r="24">
      <c r="A24" s="2" t="n"/>
      <c r="B24" s="2" t="n"/>
    </row>
    <row r="25">
      <c r="A25" s="3" t="n"/>
      <c r="B25" s="3" t="n"/>
    </row>
    <row r="26">
      <c r="A26" s="2" t="n"/>
      <c r="B26" s="2" t="n"/>
    </row>
    <row r="27">
      <c r="A27" s="3" t="n"/>
      <c r="B27" s="3" t="n"/>
    </row>
    <row r="28">
      <c r="A28" s="2" t="n"/>
      <c r="B28" s="2" t="n"/>
    </row>
    <row r="29">
      <c r="A29" s="3" t="n"/>
      <c r="B29" s="3" t="n"/>
    </row>
    <row r="30">
      <c r="A30" s="2" t="n"/>
      <c r="B30" s="2" t="n"/>
    </row>
    <row r="31">
      <c r="A31" s="3" t="n"/>
      <c r="B31" s="3" t="n"/>
    </row>
    <row r="32">
      <c r="A32" s="2" t="n"/>
      <c r="B32" s="2" t="n"/>
    </row>
    <row r="33">
      <c r="A33" s="3" t="n"/>
      <c r="B33" s="3" t="n"/>
    </row>
    <row r="34">
      <c r="A34" s="2" t="n"/>
      <c r="B34" s="2" t="n"/>
    </row>
    <row r="35">
      <c r="A35" s="3" t="n"/>
      <c r="B35" s="3" t="n"/>
    </row>
    <row r="36">
      <c r="A36" s="2" t="n"/>
      <c r="B36" s="2" t="n"/>
    </row>
    <row r="37">
      <c r="A37" s="3" t="n"/>
      <c r="B37" s="3" t="n"/>
    </row>
    <row r="38">
      <c r="A38" s="2" t="n"/>
      <c r="B38" s="2" t="n"/>
    </row>
    <row r="39">
      <c r="A39" s="3" t="n"/>
      <c r="B39" s="3" t="n"/>
    </row>
    <row r="40">
      <c r="A40" s="2" t="n"/>
      <c r="B40" s="2" t="n"/>
    </row>
    <row r="41">
      <c r="A41" s="3" t="n"/>
      <c r="B41" s="3" t="n"/>
    </row>
    <row r="42">
      <c r="A42" s="2" t="n"/>
      <c r="B42" s="2" t="n"/>
    </row>
    <row r="43">
      <c r="A43" s="3" t="n"/>
      <c r="B43" s="3" t="n"/>
    </row>
    <row r="44">
      <c r="A44" s="2" t="n"/>
      <c r="B44" s="2" t="n"/>
    </row>
    <row r="45">
      <c r="A45" s="3" t="n"/>
      <c r="B45" s="3" t="n"/>
    </row>
    <row r="46">
      <c r="A46" s="2" t="n"/>
      <c r="B46" s="2" t="n"/>
    </row>
    <row r="47">
      <c r="A47" s="3" t="n"/>
      <c r="B47" s="3" t="n"/>
    </row>
    <row r="48">
      <c r="A48" s="2" t="n"/>
      <c r="B48" s="2" t="n"/>
    </row>
    <row r="49">
      <c r="A49" s="3" t="n"/>
      <c r="B49" s="3" t="n"/>
    </row>
    <row r="50">
      <c r="A50" s="2" t="n"/>
      <c r="B50" s="2" t="n"/>
    </row>
    <row r="51">
      <c r="A51" s="3" t="n"/>
      <c r="B51" s="3" t="n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Participant_ID</t>
        </is>
      </c>
      <c r="B1" s="1" t="inlineStr">
        <is>
          <t>Role</t>
        </is>
      </c>
      <c r="C1" s="1" t="inlineStr">
        <is>
          <t>Pathology_experience</t>
        </is>
      </c>
      <c r="D1" s="1" t="inlineStr">
        <is>
          <t>Programming_AI_experience</t>
        </is>
      </c>
      <c r="E1" s="1" t="inlineStr">
        <is>
          <t>Prior_pathology_tool</t>
        </is>
      </c>
      <c r="F1" s="1" t="inlineStr">
        <is>
          <t>Device_display_scale</t>
        </is>
      </c>
      <c r="G1" s="1" t="inlineStr">
        <is>
          <t>Consent_participate</t>
        </is>
      </c>
      <c r="H1" s="1" t="inlineStr">
        <is>
          <t>Consent_quote</t>
        </is>
      </c>
      <c r="I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</sheetData>
  <autoFilter ref="A1:I51"/>
  <dataValidations count="2">
    <dataValidation sqref="G2:G51 H2:H51" showDropDown="0" showInputMessage="0" showErrorMessage="0" allowBlank="1" type="list">
      <formula1>"Yes,No,Not requested"</formula1>
    </dataValidation>
    <dataValidation sqref="A2:A51" showDropDown="0" showInputMessage="0" showErrorMessage="1" allowBlank="1" error="Use one unique anonymous participant ID per row." type="custom" errorStyle="stop">
      <formula1>OR(A2="",COUNTIF($A$2:$A$51,A2)=1)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1" t="inlineStr">
        <is>
          <t>Participant_ID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Valid_items</t>
        </is>
      </c>
      <c r="M1" s="1" t="inlineStr">
        <is>
          <t>SUS_score</t>
        </is>
      </c>
      <c r="N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>
        <f>IF(COUNTA(B2:K2)=0,"",COUNT(B2:K2))</f>
        <v/>
      </c>
      <c r="M2" s="4">
        <f>IFERROR(IF(AND(A2&lt;&gt;"",COUNTIF($A$2:$A$51,A2)=1,COUNT(B2:K2)=10,COUNTIF(B2:K2,"&gt;=1")=10,COUNTIF(B2:K2,"&lt;=5")=10,SUMPRODUCT(--(MOD(B2:K2,1)=0))=10),2.5*((B2-1)+(5-C2)+(D2-1)+(5-E2)+(F2-1)+(5-G2)+(H2-1)+(5-I2)+(J2-1)+(5-K2)),""),"")</f>
        <v/>
      </c>
      <c r="N2" s="2">
        <f>IF(COUNTA(B2:K2)=0,"",IF(ISNUMBER(M2),"Complete","Check ID / missing / invalid"))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>
        <f>IF(COUNTA(B3:K3)=0,"",COUNT(B3:K3))</f>
        <v/>
      </c>
      <c r="M3" s="5">
        <f>IFERROR(IF(AND(A3&lt;&gt;"",COUNTIF($A$2:$A$51,A3)=1,COUNT(B3:K3)=10,COUNTIF(B3:K3,"&gt;=1")=10,COUNTIF(B3:K3,"&lt;=5")=10,SUMPRODUCT(--(MOD(B3:K3,1)=0))=10),2.5*((B3-1)+(5-C3)+(D3-1)+(5-E3)+(F3-1)+(5-G3)+(H3-1)+(5-I3)+(J3-1)+(5-K3)),""),"")</f>
        <v/>
      </c>
      <c r="N3" s="3">
        <f>IF(COUNTA(B3:K3)=0,"",IF(ISNUMBER(M3),"Complete","Check ID / missing / invalid"))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>
        <f>IF(COUNTA(B4:K4)=0,"",COUNT(B4:K4))</f>
        <v/>
      </c>
      <c r="M4" s="4">
        <f>IFERROR(IF(AND(A4&lt;&gt;"",COUNTIF($A$2:$A$51,A4)=1,COUNT(B4:K4)=10,COUNTIF(B4:K4,"&gt;=1")=10,COUNTIF(B4:K4,"&lt;=5")=10,SUMPRODUCT(--(MOD(B4:K4,1)=0))=10),2.5*((B4-1)+(5-C4)+(D4-1)+(5-E4)+(F4-1)+(5-G4)+(H4-1)+(5-I4)+(J4-1)+(5-K4)),""),"")</f>
        <v/>
      </c>
      <c r="N4" s="2">
        <f>IF(COUNTA(B4:K4)=0,"",IF(ISNUMBER(M4),"Complete","Check ID / missing / invalid"))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>
        <f>IF(COUNTA(B5:K5)=0,"",COUNT(B5:K5))</f>
        <v/>
      </c>
      <c r="M5" s="5">
        <f>IFERROR(IF(AND(A5&lt;&gt;"",COUNTIF($A$2:$A$51,A5)=1,COUNT(B5:K5)=10,COUNTIF(B5:K5,"&gt;=1")=10,COUNTIF(B5:K5,"&lt;=5")=10,SUMPRODUCT(--(MOD(B5:K5,1)=0))=10),2.5*((B5-1)+(5-C5)+(D5-1)+(5-E5)+(F5-1)+(5-G5)+(H5-1)+(5-I5)+(J5-1)+(5-K5)),""),"")</f>
        <v/>
      </c>
      <c r="N5" s="3">
        <f>IF(COUNTA(B5:K5)=0,"",IF(ISNUMBER(M5),"Complete","Check ID / missing / invalid"))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>
        <f>IF(COUNTA(B6:K6)=0,"",COUNT(B6:K6))</f>
        <v/>
      </c>
      <c r="M6" s="4">
        <f>IFERROR(IF(AND(A6&lt;&gt;"",COUNTIF($A$2:$A$51,A6)=1,COUNT(B6:K6)=10,COUNTIF(B6:K6,"&gt;=1")=10,COUNTIF(B6:K6,"&lt;=5")=10,SUMPRODUCT(--(MOD(B6:K6,1)=0))=10),2.5*((B6-1)+(5-C6)+(D6-1)+(5-E6)+(F6-1)+(5-G6)+(H6-1)+(5-I6)+(J6-1)+(5-K6)),""),"")</f>
        <v/>
      </c>
      <c r="N6" s="2">
        <f>IF(COUNTA(B6:K6)=0,"",IF(ISNUMBER(M6),"Complete","Check ID / missing / invalid"))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>
        <f>IF(COUNTA(B7:K7)=0,"",COUNT(B7:K7))</f>
        <v/>
      </c>
      <c r="M7" s="5">
        <f>IFERROR(IF(AND(A7&lt;&gt;"",COUNTIF($A$2:$A$51,A7)=1,COUNT(B7:K7)=10,COUNTIF(B7:K7,"&gt;=1")=10,COUNTIF(B7:K7,"&lt;=5")=10,SUMPRODUCT(--(MOD(B7:K7,1)=0))=10),2.5*((B7-1)+(5-C7)+(D7-1)+(5-E7)+(F7-1)+(5-G7)+(H7-1)+(5-I7)+(J7-1)+(5-K7)),""),"")</f>
        <v/>
      </c>
      <c r="N7" s="3">
        <f>IF(COUNTA(B7:K7)=0,"",IF(ISNUMBER(M7),"Complete","Check ID / missing / invalid"))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>
        <f>IF(COUNTA(B8:K8)=0,"",COUNT(B8:K8))</f>
        <v/>
      </c>
      <c r="M8" s="4">
        <f>IFERROR(IF(AND(A8&lt;&gt;"",COUNTIF($A$2:$A$51,A8)=1,COUNT(B8:K8)=10,COUNTIF(B8:K8,"&gt;=1")=10,COUNTIF(B8:K8,"&lt;=5")=10,SUMPRODUCT(--(MOD(B8:K8,1)=0))=10),2.5*((B8-1)+(5-C8)+(D8-1)+(5-E8)+(F8-1)+(5-G8)+(H8-1)+(5-I8)+(J8-1)+(5-K8)),""),"")</f>
        <v/>
      </c>
      <c r="N8" s="2">
        <f>IF(COUNTA(B8:K8)=0,"",IF(ISNUMBER(M8),"Complete","Check ID / missing / invalid"))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>
        <f>IF(COUNTA(B9:K9)=0,"",COUNT(B9:K9))</f>
        <v/>
      </c>
      <c r="M9" s="5">
        <f>IFERROR(IF(AND(A9&lt;&gt;"",COUNTIF($A$2:$A$51,A9)=1,COUNT(B9:K9)=10,COUNTIF(B9:K9,"&gt;=1")=10,COUNTIF(B9:K9,"&lt;=5")=10,SUMPRODUCT(--(MOD(B9:K9,1)=0))=10),2.5*((B9-1)+(5-C9)+(D9-1)+(5-E9)+(F9-1)+(5-G9)+(H9-1)+(5-I9)+(J9-1)+(5-K9)),""),"")</f>
        <v/>
      </c>
      <c r="N9" s="3">
        <f>IF(COUNTA(B9:K9)=0,"",IF(ISNUMBER(M9),"Complete","Check ID / missing / invalid"))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>
        <f>IF(COUNTA(B10:K10)=0,"",COUNT(B10:K10))</f>
        <v/>
      </c>
      <c r="M10" s="4">
        <f>IFERROR(IF(AND(A10&lt;&gt;"",COUNTIF($A$2:$A$51,A10)=1,COUNT(B10:K10)=10,COUNTIF(B10:K10,"&gt;=1")=10,COUNTIF(B10:K10,"&lt;=5")=10,SUMPRODUCT(--(MOD(B10:K10,1)=0))=10),2.5*((B10-1)+(5-C10)+(D10-1)+(5-E10)+(F10-1)+(5-G10)+(H10-1)+(5-I10)+(J10-1)+(5-K10)),""),"")</f>
        <v/>
      </c>
      <c r="N10" s="2">
        <f>IF(COUNTA(B10:K10)=0,"",IF(ISNUMBER(M10),"Complete","Check ID / missing / invalid"))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>
        <f>IF(COUNTA(B11:K11)=0,"",COUNT(B11:K11))</f>
        <v/>
      </c>
      <c r="M11" s="5">
        <f>IFERROR(IF(AND(A11&lt;&gt;"",COUNTIF($A$2:$A$51,A11)=1,COUNT(B11:K11)=10,COUNTIF(B11:K11,"&gt;=1")=10,COUNTIF(B11:K11,"&lt;=5")=10,SUMPRODUCT(--(MOD(B11:K11,1)=0))=10),2.5*((B11-1)+(5-C11)+(D11-1)+(5-E11)+(F11-1)+(5-G11)+(H11-1)+(5-I11)+(J11-1)+(5-K11)),""),"")</f>
        <v/>
      </c>
      <c r="N11" s="3">
        <f>IF(COUNTA(B11:K11)=0,"",IF(ISNUMBER(M11),"Complete","Check ID / missing / invalid"))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>
        <f>IF(COUNTA(B12:K12)=0,"",COUNT(B12:K12))</f>
        <v/>
      </c>
      <c r="M12" s="4">
        <f>IFERROR(IF(AND(A12&lt;&gt;"",COUNTIF($A$2:$A$51,A12)=1,COUNT(B12:K12)=10,COUNTIF(B12:K12,"&gt;=1")=10,COUNTIF(B12:K12,"&lt;=5")=10,SUMPRODUCT(--(MOD(B12:K12,1)=0))=10),2.5*((B12-1)+(5-C12)+(D12-1)+(5-E12)+(F12-1)+(5-G12)+(H12-1)+(5-I12)+(J12-1)+(5-K12)),""),"")</f>
        <v/>
      </c>
      <c r="N12" s="2">
        <f>IF(COUNTA(B12:K12)=0,"",IF(ISNUMBER(M12),"Complete","Check ID / missing / invalid"))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>
        <f>IF(COUNTA(B13:K13)=0,"",COUNT(B13:K13))</f>
        <v/>
      </c>
      <c r="M13" s="5">
        <f>IFERROR(IF(AND(A13&lt;&gt;"",COUNTIF($A$2:$A$51,A13)=1,COUNT(B13:K13)=10,COUNTIF(B13:K13,"&gt;=1")=10,COUNTIF(B13:K13,"&lt;=5")=10,SUMPRODUCT(--(MOD(B13:K13,1)=0))=10),2.5*((B13-1)+(5-C13)+(D13-1)+(5-E13)+(F13-1)+(5-G13)+(H13-1)+(5-I13)+(J13-1)+(5-K13)),""),"")</f>
        <v/>
      </c>
      <c r="N13" s="3">
        <f>IF(COUNTA(B13:K13)=0,"",IF(ISNUMBER(M13),"Complete","Check ID / missing / invalid"))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>
        <f>IF(COUNTA(B14:K14)=0,"",COUNT(B14:K14))</f>
        <v/>
      </c>
      <c r="M14" s="4">
        <f>IFERROR(IF(AND(A14&lt;&gt;"",COUNTIF($A$2:$A$51,A14)=1,COUNT(B14:K14)=10,COUNTIF(B14:K14,"&gt;=1")=10,COUNTIF(B14:K14,"&lt;=5")=10,SUMPRODUCT(--(MOD(B14:K14,1)=0))=10),2.5*((B14-1)+(5-C14)+(D14-1)+(5-E14)+(F14-1)+(5-G14)+(H14-1)+(5-I14)+(J14-1)+(5-K14)),""),"")</f>
        <v/>
      </c>
      <c r="N14" s="2">
        <f>IF(COUNTA(B14:K14)=0,"",IF(ISNUMBER(M14),"Complete","Check ID / missing / invalid"))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>
        <f>IF(COUNTA(B15:K15)=0,"",COUNT(B15:K15))</f>
        <v/>
      </c>
      <c r="M15" s="5">
        <f>IFERROR(IF(AND(A15&lt;&gt;"",COUNTIF($A$2:$A$51,A15)=1,COUNT(B15:K15)=10,COUNTIF(B15:K15,"&gt;=1")=10,COUNTIF(B15:K15,"&lt;=5")=10,SUMPRODUCT(--(MOD(B15:K15,1)=0))=10),2.5*((B15-1)+(5-C15)+(D15-1)+(5-E15)+(F15-1)+(5-G15)+(H15-1)+(5-I15)+(J15-1)+(5-K15)),""),"")</f>
        <v/>
      </c>
      <c r="N15" s="3">
        <f>IF(COUNTA(B15:K15)=0,"",IF(ISNUMBER(M15),"Complete","Check ID / missing / invalid"))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>
        <f>IF(COUNTA(B16:K16)=0,"",COUNT(B16:K16))</f>
        <v/>
      </c>
      <c r="M16" s="4">
        <f>IFERROR(IF(AND(A16&lt;&gt;"",COUNTIF($A$2:$A$51,A16)=1,COUNT(B16:K16)=10,COUNTIF(B16:K16,"&gt;=1")=10,COUNTIF(B16:K16,"&lt;=5")=10,SUMPRODUCT(--(MOD(B16:K16,1)=0))=10),2.5*((B16-1)+(5-C16)+(D16-1)+(5-E16)+(F16-1)+(5-G16)+(H16-1)+(5-I16)+(J16-1)+(5-K16)),""),"")</f>
        <v/>
      </c>
      <c r="N16" s="2">
        <f>IF(COUNTA(B16:K16)=0,"",IF(ISNUMBER(M16),"Complete","Check ID / missing / invalid"))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>
        <f>IF(COUNTA(B17:K17)=0,"",COUNT(B17:K17))</f>
        <v/>
      </c>
      <c r="M17" s="5">
        <f>IFERROR(IF(AND(A17&lt;&gt;"",COUNTIF($A$2:$A$51,A17)=1,COUNT(B17:K17)=10,COUNTIF(B17:K17,"&gt;=1")=10,COUNTIF(B17:K17,"&lt;=5")=10,SUMPRODUCT(--(MOD(B17:K17,1)=0))=10),2.5*((B17-1)+(5-C17)+(D17-1)+(5-E17)+(F17-1)+(5-G17)+(H17-1)+(5-I17)+(J17-1)+(5-K17)),""),"")</f>
        <v/>
      </c>
      <c r="N17" s="3">
        <f>IF(COUNTA(B17:K17)=0,"",IF(ISNUMBER(M17),"Complete","Check ID / missing / invalid"))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>
        <f>IF(COUNTA(B18:K18)=0,"",COUNT(B18:K18))</f>
        <v/>
      </c>
      <c r="M18" s="4">
        <f>IFERROR(IF(AND(A18&lt;&gt;"",COUNTIF($A$2:$A$51,A18)=1,COUNT(B18:K18)=10,COUNTIF(B18:K18,"&gt;=1")=10,COUNTIF(B18:K18,"&lt;=5")=10,SUMPRODUCT(--(MOD(B18:K18,1)=0))=10),2.5*((B18-1)+(5-C18)+(D18-1)+(5-E18)+(F18-1)+(5-G18)+(H18-1)+(5-I18)+(J18-1)+(5-K18)),""),"")</f>
        <v/>
      </c>
      <c r="N18" s="2">
        <f>IF(COUNTA(B18:K18)=0,"",IF(ISNUMBER(M18),"Complete","Check ID / missing / invalid"))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>
        <f>IF(COUNTA(B19:K19)=0,"",COUNT(B19:K19))</f>
        <v/>
      </c>
      <c r="M19" s="5">
        <f>IFERROR(IF(AND(A19&lt;&gt;"",COUNTIF($A$2:$A$51,A19)=1,COUNT(B19:K19)=10,COUNTIF(B19:K19,"&gt;=1")=10,COUNTIF(B19:K19,"&lt;=5")=10,SUMPRODUCT(--(MOD(B19:K19,1)=0))=10),2.5*((B19-1)+(5-C19)+(D19-1)+(5-E19)+(F19-1)+(5-G19)+(H19-1)+(5-I19)+(J19-1)+(5-K19)),""),"")</f>
        <v/>
      </c>
      <c r="N19" s="3">
        <f>IF(COUNTA(B19:K19)=0,"",IF(ISNUMBER(M19),"Complete","Check ID / missing / invalid"))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>
        <f>IF(COUNTA(B20:K20)=0,"",COUNT(B20:K20))</f>
        <v/>
      </c>
      <c r="M20" s="4">
        <f>IFERROR(IF(AND(A20&lt;&gt;"",COUNTIF($A$2:$A$51,A20)=1,COUNT(B20:K20)=10,COUNTIF(B20:K20,"&gt;=1")=10,COUNTIF(B20:K20,"&lt;=5")=10,SUMPRODUCT(--(MOD(B20:K20,1)=0))=10),2.5*((B20-1)+(5-C20)+(D20-1)+(5-E20)+(F20-1)+(5-G20)+(H20-1)+(5-I20)+(J20-1)+(5-K20)),""),"")</f>
        <v/>
      </c>
      <c r="N20" s="2">
        <f>IF(COUNTA(B20:K20)=0,"",IF(ISNUMBER(M20),"Complete","Check ID / missing / invalid"))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>
        <f>IF(COUNTA(B21:K21)=0,"",COUNT(B21:K21))</f>
        <v/>
      </c>
      <c r="M21" s="5">
        <f>IFERROR(IF(AND(A21&lt;&gt;"",COUNTIF($A$2:$A$51,A21)=1,COUNT(B21:K21)=10,COUNTIF(B21:K21,"&gt;=1")=10,COUNTIF(B21:K21,"&lt;=5")=10,SUMPRODUCT(--(MOD(B21:K21,1)=0))=10),2.5*((B21-1)+(5-C21)+(D21-1)+(5-E21)+(F21-1)+(5-G21)+(H21-1)+(5-I21)+(J21-1)+(5-K21)),""),"")</f>
        <v/>
      </c>
      <c r="N21" s="3">
        <f>IF(COUNTA(B21:K21)=0,"",IF(ISNUMBER(M21),"Complete","Check ID / missing / invalid"))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>
        <f>IF(COUNTA(B22:K22)=0,"",COUNT(B22:K22))</f>
        <v/>
      </c>
      <c r="M22" s="4">
        <f>IFERROR(IF(AND(A22&lt;&gt;"",COUNTIF($A$2:$A$51,A22)=1,COUNT(B22:K22)=10,COUNTIF(B22:K22,"&gt;=1")=10,COUNTIF(B22:K22,"&lt;=5")=10,SUMPRODUCT(--(MOD(B22:K22,1)=0))=10),2.5*((B22-1)+(5-C22)+(D22-1)+(5-E22)+(F22-1)+(5-G22)+(H22-1)+(5-I22)+(J22-1)+(5-K22)),""),"")</f>
        <v/>
      </c>
      <c r="N22" s="2">
        <f>IF(COUNTA(B22:K22)=0,"",IF(ISNUMBER(M22),"Complete","Check ID / missing / invalid"))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>
        <f>IF(COUNTA(B23:K23)=0,"",COUNT(B23:K23))</f>
        <v/>
      </c>
      <c r="M23" s="5">
        <f>IFERROR(IF(AND(A23&lt;&gt;"",COUNTIF($A$2:$A$51,A23)=1,COUNT(B23:K23)=10,COUNTIF(B23:K23,"&gt;=1")=10,COUNTIF(B23:K23,"&lt;=5")=10,SUMPRODUCT(--(MOD(B23:K23,1)=0))=10),2.5*((B23-1)+(5-C23)+(D23-1)+(5-E23)+(F23-1)+(5-G23)+(H23-1)+(5-I23)+(J23-1)+(5-K23)),""),"")</f>
        <v/>
      </c>
      <c r="N23" s="3">
        <f>IF(COUNTA(B23:K23)=0,"",IF(ISNUMBER(M23),"Complete","Check ID / missing / invalid"))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>
        <f>IF(COUNTA(B24:K24)=0,"",COUNT(B24:K24))</f>
        <v/>
      </c>
      <c r="M24" s="4">
        <f>IFERROR(IF(AND(A24&lt;&gt;"",COUNTIF($A$2:$A$51,A24)=1,COUNT(B24:K24)=10,COUNTIF(B24:K24,"&gt;=1")=10,COUNTIF(B24:K24,"&lt;=5")=10,SUMPRODUCT(--(MOD(B24:K24,1)=0))=10),2.5*((B24-1)+(5-C24)+(D24-1)+(5-E24)+(F24-1)+(5-G24)+(H24-1)+(5-I24)+(J24-1)+(5-K24)),""),"")</f>
        <v/>
      </c>
      <c r="N24" s="2">
        <f>IF(COUNTA(B24:K24)=0,"",IF(ISNUMBER(M24),"Complete","Check ID / missing / invalid"))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>
        <f>IF(COUNTA(B25:K25)=0,"",COUNT(B25:K25))</f>
        <v/>
      </c>
      <c r="M25" s="5">
        <f>IFERROR(IF(AND(A25&lt;&gt;"",COUNTIF($A$2:$A$51,A25)=1,COUNT(B25:K25)=10,COUNTIF(B25:K25,"&gt;=1")=10,COUNTIF(B25:K25,"&lt;=5")=10,SUMPRODUCT(--(MOD(B25:K25,1)=0))=10),2.5*((B25-1)+(5-C25)+(D25-1)+(5-E25)+(F25-1)+(5-G25)+(H25-1)+(5-I25)+(J25-1)+(5-K25)),""),"")</f>
        <v/>
      </c>
      <c r="N25" s="3">
        <f>IF(COUNTA(B25:K25)=0,"",IF(ISNUMBER(M25),"Complete","Check ID / missing / invalid"))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>
        <f>IF(COUNTA(B26:K26)=0,"",COUNT(B26:K26))</f>
        <v/>
      </c>
      <c r="M26" s="4">
        <f>IFERROR(IF(AND(A26&lt;&gt;"",COUNTIF($A$2:$A$51,A26)=1,COUNT(B26:K26)=10,COUNTIF(B26:K26,"&gt;=1")=10,COUNTIF(B26:K26,"&lt;=5")=10,SUMPRODUCT(--(MOD(B26:K26,1)=0))=10),2.5*((B26-1)+(5-C26)+(D26-1)+(5-E26)+(F26-1)+(5-G26)+(H26-1)+(5-I26)+(J26-1)+(5-K26)),""),"")</f>
        <v/>
      </c>
      <c r="N26" s="2">
        <f>IF(COUNTA(B26:K26)=0,"",IF(ISNUMBER(M26),"Complete","Check ID / missing / invalid"))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>
        <f>IF(COUNTA(B27:K27)=0,"",COUNT(B27:K27))</f>
        <v/>
      </c>
      <c r="M27" s="5">
        <f>IFERROR(IF(AND(A27&lt;&gt;"",COUNTIF($A$2:$A$51,A27)=1,COUNT(B27:K27)=10,COUNTIF(B27:K27,"&gt;=1")=10,COUNTIF(B27:K27,"&lt;=5")=10,SUMPRODUCT(--(MOD(B27:K27,1)=0))=10),2.5*((B27-1)+(5-C27)+(D27-1)+(5-E27)+(F27-1)+(5-G27)+(H27-1)+(5-I27)+(J27-1)+(5-K27)),""),"")</f>
        <v/>
      </c>
      <c r="N27" s="3">
        <f>IF(COUNTA(B27:K27)=0,"",IF(ISNUMBER(M27),"Complete","Check ID / missing / invalid"))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>
        <f>IF(COUNTA(B28:K28)=0,"",COUNT(B28:K28))</f>
        <v/>
      </c>
      <c r="M28" s="4">
        <f>IFERROR(IF(AND(A28&lt;&gt;"",COUNTIF($A$2:$A$51,A28)=1,COUNT(B28:K28)=10,COUNTIF(B28:K28,"&gt;=1")=10,COUNTIF(B28:K28,"&lt;=5")=10,SUMPRODUCT(--(MOD(B28:K28,1)=0))=10),2.5*((B28-1)+(5-C28)+(D28-1)+(5-E28)+(F28-1)+(5-G28)+(H28-1)+(5-I28)+(J28-1)+(5-K28)),""),"")</f>
        <v/>
      </c>
      <c r="N28" s="2">
        <f>IF(COUNTA(B28:K28)=0,"",IF(ISNUMBER(M28),"Complete","Check ID / missing / invalid"))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>
        <f>IF(COUNTA(B29:K29)=0,"",COUNT(B29:K29))</f>
        <v/>
      </c>
      <c r="M29" s="5">
        <f>IFERROR(IF(AND(A29&lt;&gt;"",COUNTIF($A$2:$A$51,A29)=1,COUNT(B29:K29)=10,COUNTIF(B29:K29,"&gt;=1")=10,COUNTIF(B29:K29,"&lt;=5")=10,SUMPRODUCT(--(MOD(B29:K29,1)=0))=10),2.5*((B29-1)+(5-C29)+(D29-1)+(5-E29)+(F29-1)+(5-G29)+(H29-1)+(5-I29)+(J29-1)+(5-K29)),""),"")</f>
        <v/>
      </c>
      <c r="N29" s="3">
        <f>IF(COUNTA(B29:K29)=0,"",IF(ISNUMBER(M29),"Complete","Check ID / missing / invalid"))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>
        <f>IF(COUNTA(B30:K30)=0,"",COUNT(B30:K30))</f>
        <v/>
      </c>
      <c r="M30" s="4">
        <f>IFERROR(IF(AND(A30&lt;&gt;"",COUNTIF($A$2:$A$51,A30)=1,COUNT(B30:K30)=10,COUNTIF(B30:K30,"&gt;=1")=10,COUNTIF(B30:K30,"&lt;=5")=10,SUMPRODUCT(--(MOD(B30:K30,1)=0))=10),2.5*((B30-1)+(5-C30)+(D30-1)+(5-E30)+(F30-1)+(5-G30)+(H30-1)+(5-I30)+(J30-1)+(5-K30)),""),"")</f>
        <v/>
      </c>
      <c r="N30" s="2">
        <f>IF(COUNTA(B30:K30)=0,"",IF(ISNUMBER(M30),"Complete","Check ID / missing / invalid"))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>
        <f>IF(COUNTA(B31:K31)=0,"",COUNT(B31:K31))</f>
        <v/>
      </c>
      <c r="M31" s="5">
        <f>IFERROR(IF(AND(A31&lt;&gt;"",COUNTIF($A$2:$A$51,A31)=1,COUNT(B31:K31)=10,COUNTIF(B31:K31,"&gt;=1")=10,COUNTIF(B31:K31,"&lt;=5")=10,SUMPRODUCT(--(MOD(B31:K31,1)=0))=10),2.5*((B31-1)+(5-C31)+(D31-1)+(5-E31)+(F31-1)+(5-G31)+(H31-1)+(5-I31)+(J31-1)+(5-K31)),""),"")</f>
        <v/>
      </c>
      <c r="N31" s="3">
        <f>IF(COUNTA(B31:K31)=0,"",IF(ISNUMBER(M31),"Complete","Check ID / missing / invalid"))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>
        <f>IF(COUNTA(B32:K32)=0,"",COUNT(B32:K32))</f>
        <v/>
      </c>
      <c r="M32" s="4">
        <f>IFERROR(IF(AND(A32&lt;&gt;"",COUNTIF($A$2:$A$51,A32)=1,COUNT(B32:K32)=10,COUNTIF(B32:K32,"&gt;=1")=10,COUNTIF(B32:K32,"&lt;=5")=10,SUMPRODUCT(--(MOD(B32:K32,1)=0))=10),2.5*((B32-1)+(5-C32)+(D32-1)+(5-E32)+(F32-1)+(5-G32)+(H32-1)+(5-I32)+(J32-1)+(5-K32)),""),"")</f>
        <v/>
      </c>
      <c r="N32" s="2">
        <f>IF(COUNTA(B32:K32)=0,"",IF(ISNUMBER(M32),"Complete","Check ID / missing / invalid"))</f>
        <v/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>
        <f>IF(COUNTA(B33:K33)=0,"",COUNT(B33:K33))</f>
        <v/>
      </c>
      <c r="M33" s="5">
        <f>IFERROR(IF(AND(A33&lt;&gt;"",COUNTIF($A$2:$A$51,A33)=1,COUNT(B33:K33)=10,COUNTIF(B33:K33,"&gt;=1")=10,COUNTIF(B33:K33,"&lt;=5")=10,SUMPRODUCT(--(MOD(B33:K33,1)=0))=10),2.5*((B33-1)+(5-C33)+(D33-1)+(5-E33)+(F33-1)+(5-G33)+(H33-1)+(5-I33)+(J33-1)+(5-K33)),""),"")</f>
        <v/>
      </c>
      <c r="N33" s="3">
        <f>IF(COUNTA(B33:K33)=0,"",IF(ISNUMBER(M33),"Complete","Check ID / missing / invalid"))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>
        <f>IF(COUNTA(B34:K34)=0,"",COUNT(B34:K34))</f>
        <v/>
      </c>
      <c r="M34" s="4">
        <f>IFERROR(IF(AND(A34&lt;&gt;"",COUNTIF($A$2:$A$51,A34)=1,COUNT(B34:K34)=10,COUNTIF(B34:K34,"&gt;=1")=10,COUNTIF(B34:K34,"&lt;=5")=10,SUMPRODUCT(--(MOD(B34:K34,1)=0))=10),2.5*((B34-1)+(5-C34)+(D34-1)+(5-E34)+(F34-1)+(5-G34)+(H34-1)+(5-I34)+(J34-1)+(5-K34)),""),"")</f>
        <v/>
      </c>
      <c r="N34" s="2">
        <f>IF(COUNTA(B34:K34)=0,"",IF(ISNUMBER(M34),"Complete","Check ID / missing / invalid"))</f>
        <v/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>
        <f>IF(COUNTA(B35:K35)=0,"",COUNT(B35:K35))</f>
        <v/>
      </c>
      <c r="M35" s="5">
        <f>IFERROR(IF(AND(A35&lt;&gt;"",COUNTIF($A$2:$A$51,A35)=1,COUNT(B35:K35)=10,COUNTIF(B35:K35,"&gt;=1")=10,COUNTIF(B35:K35,"&lt;=5")=10,SUMPRODUCT(--(MOD(B35:K35,1)=0))=10),2.5*((B35-1)+(5-C35)+(D35-1)+(5-E35)+(F35-1)+(5-G35)+(H35-1)+(5-I35)+(J35-1)+(5-K35)),""),"")</f>
        <v/>
      </c>
      <c r="N35" s="3">
        <f>IF(COUNTA(B35:K35)=0,"",IF(ISNUMBER(M35),"Complete","Check ID / missing / invalid"))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>
        <f>IF(COUNTA(B36:K36)=0,"",COUNT(B36:K36))</f>
        <v/>
      </c>
      <c r="M36" s="4">
        <f>IFERROR(IF(AND(A36&lt;&gt;"",COUNTIF($A$2:$A$51,A36)=1,COUNT(B36:K36)=10,COUNTIF(B36:K36,"&gt;=1")=10,COUNTIF(B36:K36,"&lt;=5")=10,SUMPRODUCT(--(MOD(B36:K36,1)=0))=10),2.5*((B36-1)+(5-C36)+(D36-1)+(5-E36)+(F36-1)+(5-G36)+(H36-1)+(5-I36)+(J36-1)+(5-K36)),""),"")</f>
        <v/>
      </c>
      <c r="N36" s="2">
        <f>IF(COUNTA(B36:K36)=0,"",IF(ISNUMBER(M36),"Complete","Check ID / missing / invalid"))</f>
        <v/>
      </c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>
        <f>IF(COUNTA(B37:K37)=0,"",COUNT(B37:K37))</f>
        <v/>
      </c>
      <c r="M37" s="5">
        <f>IFERROR(IF(AND(A37&lt;&gt;"",COUNTIF($A$2:$A$51,A37)=1,COUNT(B37:K37)=10,COUNTIF(B37:K37,"&gt;=1")=10,COUNTIF(B37:K37,"&lt;=5")=10,SUMPRODUCT(--(MOD(B37:K37,1)=0))=10),2.5*((B37-1)+(5-C37)+(D37-1)+(5-E37)+(F37-1)+(5-G37)+(H37-1)+(5-I37)+(J37-1)+(5-K37)),""),"")</f>
        <v/>
      </c>
      <c r="N37" s="3">
        <f>IF(COUNTA(B37:K37)=0,"",IF(ISNUMBER(M37),"Complete","Check ID / missing / invalid"))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>
        <f>IF(COUNTA(B38:K38)=0,"",COUNT(B38:K38))</f>
        <v/>
      </c>
      <c r="M38" s="4">
        <f>IFERROR(IF(AND(A38&lt;&gt;"",COUNTIF($A$2:$A$51,A38)=1,COUNT(B38:K38)=10,COUNTIF(B38:K38,"&gt;=1")=10,COUNTIF(B38:K38,"&lt;=5")=10,SUMPRODUCT(--(MOD(B38:K38,1)=0))=10),2.5*((B38-1)+(5-C38)+(D38-1)+(5-E38)+(F38-1)+(5-G38)+(H38-1)+(5-I38)+(J38-1)+(5-K38)),""),"")</f>
        <v/>
      </c>
      <c r="N38" s="2">
        <f>IF(COUNTA(B38:K38)=0,"",IF(ISNUMBER(M38),"Complete","Check ID / missing / invalid"))</f>
        <v/>
      </c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>
        <f>IF(COUNTA(B39:K39)=0,"",COUNT(B39:K39))</f>
        <v/>
      </c>
      <c r="M39" s="5">
        <f>IFERROR(IF(AND(A39&lt;&gt;"",COUNTIF($A$2:$A$51,A39)=1,COUNT(B39:K39)=10,COUNTIF(B39:K39,"&gt;=1")=10,COUNTIF(B39:K39,"&lt;=5")=10,SUMPRODUCT(--(MOD(B39:K39,1)=0))=10),2.5*((B39-1)+(5-C39)+(D39-1)+(5-E39)+(F39-1)+(5-G39)+(H39-1)+(5-I39)+(J39-1)+(5-K39)),""),"")</f>
        <v/>
      </c>
      <c r="N39" s="3">
        <f>IF(COUNTA(B39:K39)=0,"",IF(ISNUMBER(M39),"Complete","Check ID / missing / invalid"))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>
        <f>IF(COUNTA(B40:K40)=0,"",COUNT(B40:K40))</f>
        <v/>
      </c>
      <c r="M40" s="4">
        <f>IFERROR(IF(AND(A40&lt;&gt;"",COUNTIF($A$2:$A$51,A40)=1,COUNT(B40:K40)=10,COUNTIF(B40:K40,"&gt;=1")=10,COUNTIF(B40:K40,"&lt;=5")=10,SUMPRODUCT(--(MOD(B40:K40,1)=0))=10),2.5*((B40-1)+(5-C40)+(D40-1)+(5-E40)+(F40-1)+(5-G40)+(H40-1)+(5-I40)+(J40-1)+(5-K40)),""),"")</f>
        <v/>
      </c>
      <c r="N40" s="2">
        <f>IF(COUNTA(B40:K40)=0,"",IF(ISNUMBER(M40),"Complete","Check ID / missing / invalid"))</f>
        <v/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>
        <f>IF(COUNTA(B41:K41)=0,"",COUNT(B41:K41))</f>
        <v/>
      </c>
      <c r="M41" s="5">
        <f>IFERROR(IF(AND(A41&lt;&gt;"",COUNTIF($A$2:$A$51,A41)=1,COUNT(B41:K41)=10,COUNTIF(B41:K41,"&gt;=1")=10,COUNTIF(B41:K41,"&lt;=5")=10,SUMPRODUCT(--(MOD(B41:K41,1)=0))=10),2.5*((B41-1)+(5-C41)+(D41-1)+(5-E41)+(F41-1)+(5-G41)+(H41-1)+(5-I41)+(J41-1)+(5-K41)),""),"")</f>
        <v/>
      </c>
      <c r="N41" s="3">
        <f>IF(COUNTA(B41:K41)=0,"",IF(ISNUMBER(M41),"Complete","Check ID / missing / invalid"))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>
        <f>IF(COUNTA(B42:K42)=0,"",COUNT(B42:K42))</f>
        <v/>
      </c>
      <c r="M42" s="4">
        <f>IFERROR(IF(AND(A42&lt;&gt;"",COUNTIF($A$2:$A$51,A42)=1,COUNT(B42:K42)=10,COUNTIF(B42:K42,"&gt;=1")=10,COUNTIF(B42:K42,"&lt;=5")=10,SUMPRODUCT(--(MOD(B42:K42,1)=0))=10),2.5*((B42-1)+(5-C42)+(D42-1)+(5-E42)+(F42-1)+(5-G42)+(H42-1)+(5-I42)+(J42-1)+(5-K42)),""),"")</f>
        <v/>
      </c>
      <c r="N42" s="2">
        <f>IF(COUNTA(B42:K42)=0,"",IF(ISNUMBER(M42),"Complete","Check ID / missing / invalid"))</f>
        <v/>
      </c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>
        <f>IF(COUNTA(B43:K43)=0,"",COUNT(B43:K43))</f>
        <v/>
      </c>
      <c r="M43" s="5">
        <f>IFERROR(IF(AND(A43&lt;&gt;"",COUNTIF($A$2:$A$51,A43)=1,COUNT(B43:K43)=10,COUNTIF(B43:K43,"&gt;=1")=10,COUNTIF(B43:K43,"&lt;=5")=10,SUMPRODUCT(--(MOD(B43:K43,1)=0))=10),2.5*((B43-1)+(5-C43)+(D43-1)+(5-E43)+(F43-1)+(5-G43)+(H43-1)+(5-I43)+(J43-1)+(5-K43)),""),"")</f>
        <v/>
      </c>
      <c r="N43" s="3">
        <f>IF(COUNTA(B43:K43)=0,"",IF(ISNUMBER(M43),"Complete","Check ID / missing / invalid"))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>
        <f>IF(COUNTA(B44:K44)=0,"",COUNT(B44:K44))</f>
        <v/>
      </c>
      <c r="M44" s="4">
        <f>IFERROR(IF(AND(A44&lt;&gt;"",COUNTIF($A$2:$A$51,A44)=1,COUNT(B44:K44)=10,COUNTIF(B44:K44,"&gt;=1")=10,COUNTIF(B44:K44,"&lt;=5")=10,SUMPRODUCT(--(MOD(B44:K44,1)=0))=10),2.5*((B44-1)+(5-C44)+(D44-1)+(5-E44)+(F44-1)+(5-G44)+(H44-1)+(5-I44)+(J44-1)+(5-K44)),""),"")</f>
        <v/>
      </c>
      <c r="N44" s="2">
        <f>IF(COUNTA(B44:K44)=0,"",IF(ISNUMBER(M44),"Complete","Check ID / missing / invalid"))</f>
        <v/>
      </c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>
        <f>IF(COUNTA(B45:K45)=0,"",COUNT(B45:K45))</f>
        <v/>
      </c>
      <c r="M45" s="5">
        <f>IFERROR(IF(AND(A45&lt;&gt;"",COUNTIF($A$2:$A$51,A45)=1,COUNT(B45:K45)=10,COUNTIF(B45:K45,"&gt;=1")=10,COUNTIF(B45:K45,"&lt;=5")=10,SUMPRODUCT(--(MOD(B45:K45,1)=0))=10),2.5*((B45-1)+(5-C45)+(D45-1)+(5-E45)+(F45-1)+(5-G45)+(H45-1)+(5-I45)+(J45-1)+(5-K45)),""),"")</f>
        <v/>
      </c>
      <c r="N45" s="3">
        <f>IF(COUNTA(B45:K45)=0,"",IF(ISNUMBER(M45),"Complete","Check ID / missing / invalid"))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>
        <f>IF(COUNTA(B46:K46)=0,"",COUNT(B46:K46))</f>
        <v/>
      </c>
      <c r="M46" s="4">
        <f>IFERROR(IF(AND(A46&lt;&gt;"",COUNTIF($A$2:$A$51,A46)=1,COUNT(B46:K46)=10,COUNTIF(B46:K46,"&gt;=1")=10,COUNTIF(B46:K46,"&lt;=5")=10,SUMPRODUCT(--(MOD(B46:K46,1)=0))=10),2.5*((B46-1)+(5-C46)+(D46-1)+(5-E46)+(F46-1)+(5-G46)+(H46-1)+(5-I46)+(J46-1)+(5-K46)),""),"")</f>
        <v/>
      </c>
      <c r="N46" s="2">
        <f>IF(COUNTA(B46:K46)=0,"",IF(ISNUMBER(M46),"Complete","Check ID / missing / invalid"))</f>
        <v/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>
        <f>IF(COUNTA(B47:K47)=0,"",COUNT(B47:K47))</f>
        <v/>
      </c>
      <c r="M47" s="5">
        <f>IFERROR(IF(AND(A47&lt;&gt;"",COUNTIF($A$2:$A$51,A47)=1,COUNT(B47:K47)=10,COUNTIF(B47:K47,"&gt;=1")=10,COUNTIF(B47:K47,"&lt;=5")=10,SUMPRODUCT(--(MOD(B47:K47,1)=0))=10),2.5*((B47-1)+(5-C47)+(D47-1)+(5-E47)+(F47-1)+(5-G47)+(H47-1)+(5-I47)+(J47-1)+(5-K47)),""),"")</f>
        <v/>
      </c>
      <c r="N47" s="3">
        <f>IF(COUNTA(B47:K47)=0,"",IF(ISNUMBER(M47),"Complete","Check ID / missing / invalid"))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>
        <f>IF(COUNTA(B48:K48)=0,"",COUNT(B48:K48))</f>
        <v/>
      </c>
      <c r="M48" s="4">
        <f>IFERROR(IF(AND(A48&lt;&gt;"",COUNTIF($A$2:$A$51,A48)=1,COUNT(B48:K48)=10,COUNTIF(B48:K48,"&gt;=1")=10,COUNTIF(B48:K48,"&lt;=5")=10,SUMPRODUCT(--(MOD(B48:K48,1)=0))=10),2.5*((B48-1)+(5-C48)+(D48-1)+(5-E48)+(F48-1)+(5-G48)+(H48-1)+(5-I48)+(J48-1)+(5-K48)),""),"")</f>
        <v/>
      </c>
      <c r="N48" s="2">
        <f>IF(COUNTA(B48:K48)=0,"",IF(ISNUMBER(M48),"Complete","Check ID / missing / invalid"))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>
        <f>IF(COUNTA(B49:K49)=0,"",COUNT(B49:K49))</f>
        <v/>
      </c>
      <c r="M49" s="5">
        <f>IFERROR(IF(AND(A49&lt;&gt;"",COUNTIF($A$2:$A$51,A49)=1,COUNT(B49:K49)=10,COUNTIF(B49:K49,"&gt;=1")=10,COUNTIF(B49:K49,"&lt;=5")=10,SUMPRODUCT(--(MOD(B49:K49,1)=0))=10),2.5*((B49-1)+(5-C49)+(D49-1)+(5-E49)+(F49-1)+(5-G49)+(H49-1)+(5-I49)+(J49-1)+(5-K49)),""),"")</f>
        <v/>
      </c>
      <c r="N49" s="3">
        <f>IF(COUNTA(B49:K49)=0,"",IF(ISNUMBER(M49),"Complete","Check ID / missing / invalid"))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>
        <f>IF(COUNTA(B50:K50)=0,"",COUNT(B50:K50))</f>
        <v/>
      </c>
      <c r="M50" s="4">
        <f>IFERROR(IF(AND(A50&lt;&gt;"",COUNTIF($A$2:$A$51,A50)=1,COUNT(B50:K50)=10,COUNTIF(B50:K50,"&gt;=1")=10,COUNTIF(B50:K50,"&lt;=5")=10,SUMPRODUCT(--(MOD(B50:K50,1)=0))=10),2.5*((B50-1)+(5-C50)+(D50-1)+(5-E50)+(F50-1)+(5-G50)+(H50-1)+(5-I50)+(J50-1)+(5-K50)),""),"")</f>
        <v/>
      </c>
      <c r="N50" s="2">
        <f>IF(COUNTA(B50:K50)=0,"",IF(ISNUMBER(M50),"Complete","Check ID / missing / invalid"))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>
        <f>IF(COUNTA(B51:K51)=0,"",COUNT(B51:K51))</f>
        <v/>
      </c>
      <c r="M51" s="5">
        <f>IFERROR(IF(AND(A51&lt;&gt;"",COUNTIF($A$2:$A$51,A51)=1,COUNT(B51:K51)=10,COUNTIF(B51:K51,"&gt;=1")=10,COUNTIF(B51:K51,"&lt;=5")=10,SUMPRODUCT(--(MOD(B51:K51,1)=0))=10),2.5*((B51-1)+(5-C51)+(D51-1)+(5-E51)+(F51-1)+(5-G51)+(H51-1)+(5-I51)+(J51-1)+(5-K51)),""),"")</f>
        <v/>
      </c>
      <c r="N51" s="3">
        <f>IF(COUNTA(B51:K51)=0,"",IF(ISNUMBER(M51),"Complete","Check ID / missing / invalid"))</f>
        <v/>
      </c>
    </row>
  </sheetData>
  <autoFilter ref="A1:N51"/>
  <dataValidations count="2">
    <dataValidation sqref="B2:K51" showDropDown="0" showInputMessage="0" showErrorMessage="1" allowBlank="1" errorTitle="Use an integer from 1 to 5" error="Leave missing answers blank." type="whole" errorStyle="stop" operator="between">
      <formula1>1</formula1>
      <formula2>5</formula2>
    </dataValidation>
    <dataValidation sqref="A2:A51" showDropDown="0" showInputMessage="0" showErrorMessage="1" allowBlank="1" error="Use one unique anonymous participant ID per row." type="custom" errorStyle="stop">
      <formula1>OR(A2="",COUNTIF($A$2:$A$51,A2)=1)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Participant_ID</t>
        </is>
      </c>
      <c r="B1" s="1" t="inlineStr">
        <is>
          <t>Task_ID</t>
        </is>
      </c>
      <c r="C1" s="1" t="inlineStr">
        <is>
          <t>Outcome</t>
        </is>
      </c>
      <c r="D1" s="1" t="inlineStr">
        <is>
          <t>Elapsed_seconds</t>
        </is>
      </c>
      <c r="E1" s="1" t="inlineStr">
        <is>
          <t>Assistance_count</t>
        </is>
      </c>
      <c r="F1" s="1" t="inlineStr">
        <is>
          <t>Critical_error</t>
        </is>
      </c>
      <c r="G1" s="1" t="inlineStr">
        <is>
          <t>Environment_issue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</sheetData>
  <autoFilter ref="A1:H501"/>
  <dataValidations count="4">
    <dataValidation sqref="C2:C501" showDropDown="0" showInputMessage="0" showErrorMessage="0" allowBlank="1" type="list">
      <formula1>"Independent success,Assisted success,Unsuccessful,Not attempted,Blocked"</formula1>
    </dataValidation>
    <dataValidation sqref="D2:D501" showDropDown="0" showInputMessage="0" showErrorMessage="1" allowBlank="1" type="decimal" operator="greaterThanOrEqual">
      <formula1>0</formula1>
    </dataValidation>
    <dataValidation sqref="E2:E501" showDropDown="0" showInputMessage="0" showErrorMessage="1" allowBlank="1" type="decimal" operator="greaterThanOrEqual">
      <formula1>0</formula1>
    </dataValidation>
    <dataValidation sqref="B2:B501" showDropDown="0" showInputMessage="0" showErrorMessage="0" allowBlank="1" type="list">
      <formula1>"T01,T02,T03,T04,T05,T06,T07,T08,T09,T10"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1" t="inlineStr">
        <is>
          <t>Participant_ID</t>
        </is>
      </c>
      <c r="B1" s="1" t="inlineStr">
        <is>
          <t>Model_selection</t>
        </is>
      </c>
      <c r="C1" s="1" t="inlineStr">
        <is>
          <t>Mode_tile_settings</t>
        </is>
      </c>
      <c r="D1" s="1" t="inlineStr">
        <is>
          <t>Legend_statistics</t>
        </is>
      </c>
      <c r="E1" s="1" t="inlineStr">
        <is>
          <t>Tile_details</t>
        </is>
      </c>
      <c r="F1" s="1" t="inlineStr">
        <is>
          <t>Comparison_linked</t>
        </is>
      </c>
      <c r="G1" s="1" t="inlineStr">
        <is>
          <t>Segmentation</t>
        </is>
      </c>
      <c r="H1" s="1" t="inlineStr">
        <is>
          <t>History_rerun</t>
        </is>
      </c>
      <c r="I1" s="1" t="inlineStr">
        <is>
          <t>Export</t>
        </is>
      </c>
      <c r="J1" s="1" t="inlineStr">
        <is>
          <t>Cancel_progress</t>
        </is>
      </c>
      <c r="K1" s="1" t="inlineStr">
        <is>
          <t>Settings_help</t>
        </is>
      </c>
      <c r="L1" s="1" t="inlineStr">
        <is>
          <t>Acceptability_yes_maybe_no</t>
        </is>
      </c>
      <c r="M1" s="1" t="inlineStr">
        <is>
          <t>Unused_or_missing_notes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</sheetData>
  <autoFilter ref="A1:M51"/>
  <dataValidations count="1">
    <dataValidation sqref="B2:K51" showDropDown="0" showInputMessage="0" showErrorMessage="1" allowBlank="1" error="Enter 1–5 or leave unused features blank." type="whole" errorStyle="stop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5" customWidth="1" min="3" max="3"/>
    <col width="18" customWidth="1" min="4" max="4"/>
    <col width="18" customWidth="1" min="5" max="5"/>
    <col width="18" customWidth="1" min="6" max="6"/>
    <col width="45" customWidth="1" min="7" max="7"/>
  </cols>
  <sheetData>
    <row r="1" ht="32" customHeight="1">
      <c r="A1" s="1" t="inlineStr">
        <is>
          <t>Participant_ID</t>
        </is>
      </c>
      <c r="B1" s="1" t="inlineStr">
        <is>
          <t>Question</t>
        </is>
      </c>
      <c r="C1" s="1" t="inlineStr">
        <is>
          <t>Response</t>
        </is>
      </c>
      <c r="D1" s="1" t="inlineStr">
        <is>
          <t>Quote_consent</t>
        </is>
      </c>
      <c r="E1" s="1" t="inlineStr">
        <is>
          <t>Initial_code</t>
        </is>
      </c>
      <c r="F1" s="1" t="inlineStr">
        <is>
          <t>Theme</t>
        </is>
      </c>
      <c r="G1" s="1" t="inlineStr">
        <is>
          <t>Analyst_note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3" t="n"/>
      <c r="B51" s="3" t="n"/>
      <c r="C51" s="3" t="n"/>
      <c r="D51" s="3" t="n"/>
      <c r="E51" s="3" t="n"/>
      <c r="F51" s="3" t="n"/>
      <c r="G51" s="3" t="n"/>
    </row>
  </sheetData>
  <autoFilter ref="A1:G51"/>
  <dataValidations count="1">
    <dataValidation sqref="D2:D51" showDropDown="0" showInputMessage="0" showErrorMessage="0" allowBlank="1" type="list">
      <formula1>"Yes,No,Not requested"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80" customWidth="1" min="3" max="3"/>
  </cols>
  <sheetData>
    <row r="1" ht="32" customHeight="1">
      <c r="A1" s="1" t="inlineStr">
        <is>
          <t>Measure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Valid SUS responses</t>
        </is>
      </c>
      <c r="B2" s="2">
        <f>COUNT(SUS_responses!M2:M51)</f>
        <v/>
      </c>
      <c r="C2" s="2" t="inlineStr">
        <is>
          <t>Complete forms only</t>
        </is>
      </c>
    </row>
    <row r="3">
      <c r="A3" s="3" t="inlineStr">
        <is>
          <t>Mean SUS</t>
        </is>
      </c>
      <c r="B3" s="3">
        <f>IF(B2=0,"",AVERAGE(SUS_responses!M2:M51))</f>
        <v/>
      </c>
      <c r="C3" s="3" t="inlineStr">
        <is>
          <t>0–100, not a task-success percentage</t>
        </is>
      </c>
    </row>
    <row r="4">
      <c r="A4" s="2" t="inlineStr">
        <is>
          <t>SUS SD</t>
        </is>
      </c>
      <c r="B4" s="2">
        <f>IF(B2&lt;2,"",STDEV(SUS_responses!M2:M51))</f>
        <v/>
      </c>
      <c r="C4" s="2" t="inlineStr">
        <is>
          <t>Sample standard deviation</t>
        </is>
      </c>
    </row>
    <row r="5">
      <c r="A5" s="3" t="inlineStr">
        <is>
          <t>Median SUS</t>
        </is>
      </c>
      <c r="B5" s="3">
        <f>IF(B2=0,"",MEDIAN(SUS_responses!M2:M51))</f>
        <v/>
      </c>
      <c r="C5" s="3" t="inlineStr">
        <is>
          <t>Useful descriptive companion for a small pilot</t>
        </is>
      </c>
    </row>
    <row r="6">
      <c r="A6" s="2" t="inlineStr">
        <is>
          <t>Minimum SUS</t>
        </is>
      </c>
      <c r="B6" s="2">
        <f>IF(B2=0,"",MIN(SUS_responses!M2:M51))</f>
        <v/>
      </c>
      <c r="C6" s="2" t="inlineStr">
        <is>
          <t>Only after valid responses exist</t>
        </is>
      </c>
    </row>
    <row r="7">
      <c r="A7" s="3" t="inlineStr">
        <is>
          <t>Maximum SUS</t>
        </is>
      </c>
      <c r="B7" s="3">
        <f>IF(B2=0,"",MAX(SUS_responses!M2:M51))</f>
        <v/>
      </c>
      <c r="C7" s="3" t="inlineStr">
        <is>
          <t>Only after valid responses exist</t>
        </is>
      </c>
    </row>
    <row r="8">
      <c r="A8" s="2" t="inlineStr">
        <is>
          <t>SUS IQR</t>
        </is>
      </c>
      <c r="B8" s="2">
        <f>IF(B2&lt;2,"",QUARTILE(SUS_responses!M2:M51,3)-QUARTILE(SUS_responses!M2:M51,1))</f>
        <v/>
      </c>
      <c r="C8" s="2" t="inlineStr">
        <is>
          <t>State quartile convention in the report</t>
        </is>
      </c>
    </row>
    <row r="9">
      <c r="A9" s="3" t="inlineStr">
        <is>
          <t>Independent task successes</t>
        </is>
      </c>
      <c r="B9" s="3">
        <f>COUNTIF(Task_log!C2:C501,"Independent success")</f>
        <v/>
      </c>
      <c r="C9" s="3" t="inlineStr">
        <is>
          <t>Do not combine with assisted success</t>
        </is>
      </c>
    </row>
    <row r="10">
      <c r="A10" s="2" t="inlineStr">
        <is>
          <t>Assisted task successes</t>
        </is>
      </c>
      <c r="B10" s="2">
        <f>COUNTIF(Task_log!C2:C501,"Assisted success")</f>
        <v/>
      </c>
      <c r="C10" s="2" t="inlineStr">
        <is>
          <t>Report separately</t>
        </is>
      </c>
    </row>
    <row r="11">
      <c r="A11" s="3" t="inlineStr">
        <is>
          <t>Unsuccessful attempts</t>
        </is>
      </c>
      <c r="B11" s="3">
        <f>COUNTIF(Task_log!C2:C501,"Unsuccessful")</f>
        <v/>
      </c>
      <c r="C11" s="3" t="inlineStr">
        <is>
          <t>Completed attempt with unsuccessful outcome</t>
        </is>
      </c>
    </row>
    <row r="12">
      <c r="A12" s="2" t="inlineStr">
        <is>
          <t>Actual evaluable attempts</t>
        </is>
      </c>
      <c r="B12" s="2">
        <f>SUM(B9:B11)</f>
        <v/>
      </c>
      <c r="C12" s="2" t="inlineStr">
        <is>
          <t>Independent + assisted + unsuccessful; excludes blocked/not attempted</t>
        </is>
      </c>
    </row>
    <row r="13">
      <c r="A13" s="3" t="inlineStr">
        <is>
          <t>Independent completion rate</t>
        </is>
      </c>
      <c r="B13" s="6">
        <f>IF(B12=0,"",B9/B12)</f>
        <v/>
      </c>
      <c r="C13" s="3" t="inlineStr">
        <is>
          <t>Report counts and denominator</t>
        </is>
      </c>
    </row>
    <row r="14">
      <c r="A14" s="2" t="inlineStr">
        <is>
          <t>Environment-blocked attempts</t>
        </is>
      </c>
      <c r="B14" s="2">
        <f>COUNTIF(Task_log!C2:C501,"Blocked")</f>
        <v/>
      </c>
      <c r="C14" s="2" t="inlineStr">
        <is>
          <t>Do not count as participant errors</t>
        </is>
      </c>
    </row>
    <row r="15">
      <c r="A15" s="3" t="inlineStr">
        <is>
          <t>Not attempted</t>
        </is>
      </c>
      <c r="B15" s="3">
        <f>COUNTIF(Task_log!C2:C501,"Not attempted")</f>
        <v/>
      </c>
      <c r="C15" s="3" t="inlineStr">
        <is>
          <t>Report reason in task notes</t>
        </is>
      </c>
    </row>
    <row r="16">
      <c r="A16" s="2" t="inlineStr"/>
      <c r="B16" s="2" t="inlineStr"/>
      <c r="C16" s="2" t="inlineStr"/>
    </row>
    <row r="17">
      <c r="A17" s="3" t="inlineStr">
        <is>
          <t>Feature</t>
        </is>
      </c>
      <c r="B17" s="3" t="inlineStr">
        <is>
          <t>Mean used-feature rating</t>
        </is>
      </c>
      <c r="C17" s="3" t="inlineStr">
        <is>
          <t>Valid numerical responses</t>
        </is>
      </c>
    </row>
    <row r="18">
      <c r="A18" s="2" t="inlineStr">
        <is>
          <t>Model_selection</t>
        </is>
      </c>
      <c r="B18" s="2">
        <f>IF(COUNT(Feature_ratings!B2:B51)=0,"",AVERAGE(Feature_ratings!B2:B51))</f>
        <v/>
      </c>
      <c r="C18" s="2">
        <f>COUNT(Feature_ratings!B2:B51)</f>
        <v/>
      </c>
    </row>
    <row r="19">
      <c r="A19" s="3" t="inlineStr">
        <is>
          <t>Mode_tile_settings</t>
        </is>
      </c>
      <c r="B19" s="3">
        <f>IF(COUNT(Feature_ratings!C2:C51)=0,"",AVERAGE(Feature_ratings!C2:C51))</f>
        <v/>
      </c>
      <c r="C19" s="3">
        <f>COUNT(Feature_ratings!C2:C51)</f>
        <v/>
      </c>
    </row>
    <row r="20">
      <c r="A20" s="2" t="inlineStr">
        <is>
          <t>Legend_statistics</t>
        </is>
      </c>
      <c r="B20" s="2">
        <f>IF(COUNT(Feature_ratings!D2:D51)=0,"",AVERAGE(Feature_ratings!D2:D51))</f>
        <v/>
      </c>
      <c r="C20" s="2">
        <f>COUNT(Feature_ratings!D2:D51)</f>
        <v/>
      </c>
    </row>
    <row r="21">
      <c r="A21" s="3" t="inlineStr">
        <is>
          <t>Tile_details</t>
        </is>
      </c>
      <c r="B21" s="3">
        <f>IF(COUNT(Feature_ratings!E2:E51)=0,"",AVERAGE(Feature_ratings!E2:E51))</f>
        <v/>
      </c>
      <c r="C21" s="3">
        <f>COUNT(Feature_ratings!E2:E51)</f>
        <v/>
      </c>
    </row>
    <row r="22">
      <c r="A22" s="2" t="inlineStr">
        <is>
          <t>Comparison_linked</t>
        </is>
      </c>
      <c r="B22" s="2">
        <f>IF(COUNT(Feature_ratings!F2:F51)=0,"",AVERAGE(Feature_ratings!F2:F51))</f>
        <v/>
      </c>
      <c r="C22" s="2">
        <f>COUNT(Feature_ratings!F2:F51)</f>
        <v/>
      </c>
    </row>
    <row r="23">
      <c r="A23" s="3" t="inlineStr">
        <is>
          <t>Segmentation</t>
        </is>
      </c>
      <c r="B23" s="3">
        <f>IF(COUNT(Feature_ratings!G2:G51)=0,"",AVERAGE(Feature_ratings!G2:G51))</f>
        <v/>
      </c>
      <c r="C23" s="3">
        <f>COUNT(Feature_ratings!G2:G51)</f>
        <v/>
      </c>
    </row>
    <row r="24">
      <c r="A24" s="2" t="inlineStr">
        <is>
          <t>History_rerun</t>
        </is>
      </c>
      <c r="B24" s="2">
        <f>IF(COUNT(Feature_ratings!H2:H51)=0,"",AVERAGE(Feature_ratings!H2:H51))</f>
        <v/>
      </c>
      <c r="C24" s="2">
        <f>COUNT(Feature_ratings!H2:H51)</f>
        <v/>
      </c>
    </row>
    <row r="25">
      <c r="A25" s="3" t="inlineStr">
        <is>
          <t>Export</t>
        </is>
      </c>
      <c r="B25" s="3">
        <f>IF(COUNT(Feature_ratings!I2:I51)=0,"",AVERAGE(Feature_ratings!I2:I51))</f>
        <v/>
      </c>
      <c r="C25" s="3">
        <f>COUNT(Feature_ratings!I2:I51)</f>
        <v/>
      </c>
    </row>
    <row r="26">
      <c r="A26" s="2" t="inlineStr">
        <is>
          <t>Cancel_progress</t>
        </is>
      </c>
      <c r="B26" s="2">
        <f>IF(COUNT(Feature_ratings!J2:J51)=0,"",AVERAGE(Feature_ratings!J2:J51))</f>
        <v/>
      </c>
      <c r="C26" s="2">
        <f>COUNT(Feature_ratings!J2:J51)</f>
        <v/>
      </c>
    </row>
    <row r="27">
      <c r="A27" s="3" t="inlineStr">
        <is>
          <t>Settings_help</t>
        </is>
      </c>
      <c r="B27" s="3">
        <f>IF(COUNT(Feature_ratings!K2:K51)=0,"",AVERAGE(Feature_ratings!K2:K51))</f>
        <v/>
      </c>
      <c r="C27" s="3">
        <f>COUNT(Feature_ratings!K2:K51)</f>
        <v/>
      </c>
    </row>
    <row r="28">
      <c r="A28" s="2" t="n"/>
      <c r="B28" s="2" t="n"/>
      <c r="C28" s="2" t="n"/>
    </row>
    <row r="29">
      <c r="A29" s="3" t="n"/>
      <c r="B29" s="3" t="n"/>
      <c r="C29" s="3" t="n"/>
    </row>
    <row r="30">
      <c r="A30" s="2" t="n"/>
      <c r="B30" s="2" t="n"/>
      <c r="C30" s="2" t="n"/>
    </row>
    <row r="31">
      <c r="A31" s="3" t="n"/>
      <c r="B31" s="3" t="n"/>
      <c r="C31" s="3" t="n"/>
    </row>
    <row r="32">
      <c r="A32" s="2" t="n"/>
      <c r="B32" s="2" t="n"/>
      <c r="C32" s="2" t="n"/>
    </row>
    <row r="33">
      <c r="A33" s="3" t="n"/>
      <c r="B33" s="3" t="n"/>
      <c r="C33" s="3" t="n"/>
    </row>
    <row r="34">
      <c r="A34" s="2" t="n"/>
      <c r="B34" s="2" t="n"/>
      <c r="C34" s="2" t="n"/>
    </row>
    <row r="35">
      <c r="A35" s="3" t="n"/>
      <c r="B35" s="3" t="n"/>
      <c r="C35" s="3" t="n"/>
    </row>
    <row r="36">
      <c r="A36" s="2" t="n"/>
      <c r="B36" s="2" t="n"/>
      <c r="C36" s="2" t="n"/>
    </row>
    <row r="37">
      <c r="A37" s="3" t="n"/>
      <c r="B37" s="3" t="n"/>
      <c r="C37" s="3" t="n"/>
    </row>
    <row r="38">
      <c r="A38" s="2" t="n"/>
      <c r="B38" s="2" t="n"/>
      <c r="C38" s="2" t="n"/>
    </row>
    <row r="39">
      <c r="A39" s="3" t="n"/>
      <c r="B39" s="3" t="n"/>
      <c r="C39" s="3" t="n"/>
    </row>
    <row r="40">
      <c r="A40" s="2" t="n"/>
      <c r="B40" s="2" t="n"/>
      <c r="C40" s="2" t="n"/>
    </row>
    <row r="41">
      <c r="A41" s="3" t="n"/>
      <c r="B41" s="3" t="n"/>
      <c r="C41" s="3" t="n"/>
    </row>
    <row r="42">
      <c r="A42" s="2" t="n"/>
      <c r="B42" s="2" t="n"/>
      <c r="C42" s="2" t="n"/>
    </row>
    <row r="43">
      <c r="A43" s="3" t="n"/>
      <c r="B43" s="3" t="n"/>
      <c r="C43" s="3" t="n"/>
    </row>
    <row r="44">
      <c r="A44" s="2" t="n"/>
      <c r="B44" s="2" t="n"/>
      <c r="C44" s="2" t="n"/>
    </row>
    <row r="45">
      <c r="A45" s="3" t="n"/>
      <c r="B45" s="3" t="n"/>
      <c r="C45" s="3" t="n"/>
    </row>
    <row r="46">
      <c r="A46" s="2" t="n"/>
      <c r="B46" s="2" t="n"/>
      <c r="C46" s="2" t="n"/>
    </row>
    <row r="47">
      <c r="A47" s="3" t="n"/>
      <c r="B47" s="3" t="n"/>
      <c r="C47" s="3" t="n"/>
    </row>
    <row r="48">
      <c r="A48" s="2" t="n"/>
      <c r="B48" s="2" t="n"/>
      <c r="C48" s="2" t="n"/>
    </row>
    <row r="49">
      <c r="A49" s="3" t="n"/>
      <c r="B49" s="3" t="n"/>
      <c r="C49" s="3" t="n"/>
    </row>
    <row r="50">
      <c r="A50" s="2" t="n"/>
      <c r="B50" s="2" t="n"/>
      <c r="C50" s="2" t="n"/>
    </row>
    <row r="51">
      <c r="A51" s="3" t="n"/>
      <c r="B51" s="3" t="n"/>
      <c r="C51" s="3" t="n"/>
    </row>
  </sheetData>
  <autoFilter ref="A1:C5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2026-10-17T14:06:06Z</dcterms:created>
  <dcterms:modified xmlns:dcterms="http://purl.org/dc/terms/" xmlns:xsi="http://www.w3.org/2001/XMLSchema-instance" xsi:type="dcterms:W3CDTF">2026-10-17T14:06:06Z</dcterms:modified>
</cp:coreProperties>
</file>